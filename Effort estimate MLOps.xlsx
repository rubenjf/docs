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ruben_j_fernando_accenture_com/Documents/CurrentWork/GMI/"/>
    </mc:Choice>
  </mc:AlternateContent>
  <xr:revisionPtr revIDLastSave="260" documentId="13_ncr:1_{E1117C90-9DDF-4471-92E8-7913309D0D79}" xr6:coauthVersionLast="47" xr6:coauthVersionMax="47" xr10:uidLastSave="{5CDE652E-05CB-4610-BE03-3AB4FEB5EF95}"/>
  <bookViews>
    <workbookView xWindow="-110" yWindow="-110" windowWidth="19420" windowHeight="10300" xr2:uid="{E3CBE3C8-93AB-406F-A1CE-E017923B23EF}"/>
  </bookViews>
  <sheets>
    <sheet name="MLOps Implementation Estimate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8" i="1"/>
  <c r="J29" i="1"/>
  <c r="J30" i="1"/>
  <c r="J13" i="1"/>
  <c r="H12" i="1"/>
  <c r="H13" i="1"/>
  <c r="H14" i="1"/>
  <c r="J14" i="1" s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J45" i="1" s="1"/>
  <c r="H46" i="1"/>
  <c r="H47" i="1"/>
  <c r="J47" i="1" s="1"/>
  <c r="H48" i="1"/>
  <c r="J48" i="1" s="1"/>
  <c r="H49" i="1"/>
  <c r="H50" i="1"/>
  <c r="H51" i="1"/>
  <c r="H11" i="1"/>
  <c r="J51" i="1"/>
  <c r="J50" i="1"/>
  <c r="J49" i="1"/>
  <c r="J9" i="1"/>
  <c r="J10" i="1"/>
  <c r="J11" i="1"/>
  <c r="J15" i="1"/>
  <c r="J16" i="1"/>
  <c r="J17" i="1"/>
  <c r="J18" i="1"/>
  <c r="J19" i="1"/>
  <c r="J20" i="1"/>
  <c r="J21" i="1"/>
  <c r="J22" i="1"/>
  <c r="J23" i="1"/>
  <c r="J24" i="1"/>
  <c r="J25" i="1"/>
  <c r="J26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6" i="1"/>
  <c r="J8" i="1"/>
</calcChain>
</file>

<file path=xl/sharedStrings.xml><?xml version="1.0" encoding="utf-8"?>
<sst xmlns="http://schemas.openxmlformats.org/spreadsheetml/2006/main" count="63" uniqueCount="63">
  <si>
    <t xml:space="preserve">Phase Activity </t>
  </si>
  <si>
    <t>Complexity</t>
  </si>
  <si>
    <t>Team Size</t>
  </si>
  <si>
    <t>Average  Effort Hours</t>
  </si>
  <si>
    <t>Work Effort in Days</t>
  </si>
  <si>
    <t>Task Date of Completion</t>
  </si>
  <si>
    <t>Business Requirements</t>
  </si>
  <si>
    <t>Functional Specifications</t>
  </si>
  <si>
    <t>Detailed Design</t>
  </si>
  <si>
    <t>Code and Unit Test</t>
  </si>
  <si>
    <t>System Testing</t>
  </si>
  <si>
    <t>User Acceptance Testing</t>
  </si>
  <si>
    <t>Gitlab Repo and CI/CD approach</t>
  </si>
  <si>
    <t>Data read and Ingestion</t>
  </si>
  <si>
    <t>Data Labeling</t>
  </si>
  <si>
    <t>Data processing (pre/post/wrangling)</t>
  </si>
  <si>
    <t>Data split (train/test/val)</t>
  </si>
  <si>
    <t>Data storage (format conversion)</t>
  </si>
  <si>
    <t>Feature Store Creation</t>
  </si>
  <si>
    <t>Data Validation (schema, rule)</t>
  </si>
  <si>
    <t>Data statistics generation (EDA)</t>
  </si>
  <si>
    <t>EDA (vizualization) - Tensorboard etc</t>
  </si>
  <si>
    <t xml:space="preserve">metadata generation &amp; lineage </t>
  </si>
  <si>
    <t>Hyperparameter tuning</t>
  </si>
  <si>
    <t xml:space="preserve">Model Training </t>
  </si>
  <si>
    <t>Model Training pipeline (with specifics such as machine type, configs etc)</t>
  </si>
  <si>
    <t>Model Evaluation</t>
  </si>
  <si>
    <t>Model metadata tracking and validation</t>
  </si>
  <si>
    <t xml:space="preserve">Unit testing </t>
  </si>
  <si>
    <t>Model registry create</t>
  </si>
  <si>
    <t>Model Deployment (batch)</t>
  </si>
  <si>
    <t>Model serving Endpoint Creation</t>
  </si>
  <si>
    <t xml:space="preserve">Model Deployment on endpoint </t>
  </si>
  <si>
    <t>Batch Prediction Job create (online/offline)</t>
  </si>
  <si>
    <t>Enable Model Monitoring and Alerting (vertex)</t>
  </si>
  <si>
    <t>data drift and alerting (vertex)</t>
  </si>
  <si>
    <t>Model Monitoring and Alerting (custom)</t>
  </si>
  <si>
    <t>data drift and alerting (custom)</t>
  </si>
  <si>
    <t>Model Explainability</t>
  </si>
  <si>
    <t>Model Serving pipelines</t>
  </si>
  <si>
    <t>Result mapping (after prediction if any)</t>
  </si>
  <si>
    <t>Cloud monitoring for custom monitoring</t>
  </si>
  <si>
    <t>Setting up logging and lineage</t>
  </si>
  <si>
    <t>Unit test case intergration in ci/cd</t>
  </si>
  <si>
    <t>other tests intergation with Ci/CD</t>
  </si>
  <si>
    <t>Develop Ci/CD for Terraform infra provisioning</t>
  </si>
  <si>
    <t>Integrate Terraform provisioning with CI/CD</t>
  </si>
  <si>
    <t xml:space="preserve">Create CI/CD cofig files and setup </t>
  </si>
  <si>
    <t xml:space="preserve">Terraform scripts </t>
  </si>
  <si>
    <t>MLOps Implementation Estimates</t>
  </si>
  <si>
    <t>Client Name - General Mills Inc.</t>
  </si>
  <si>
    <t xml:space="preserve">Project Name- Walmart Engine </t>
  </si>
  <si>
    <t xml:space="preserve">Use-case identification and design approval. Code walkthrough </t>
  </si>
  <si>
    <t>cloud function create for custom jobs</t>
  </si>
  <si>
    <t>cloud shceduler create for triggering events</t>
  </si>
  <si>
    <t>Airflow code to orchestrate ML pipelines</t>
  </si>
  <si>
    <t>Airflow code to orchestrate inferencing pipeline</t>
  </si>
  <si>
    <t>Airflow config setup</t>
  </si>
  <si>
    <t>Average Effort Hours (Planning &amp; Designing)</t>
  </si>
  <si>
    <t>Average Effort Hours (Code Development)</t>
  </si>
  <si>
    <t>Average Effort Hours (Unit Testing &amp; Promotion)</t>
  </si>
  <si>
    <t>Average Effort Hours (Documentation)</t>
  </si>
  <si>
    <t>Environment Setup and Access (includes persona, service, Repo access, Jira etc as well)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</si>
</sst>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2" tint="-0.499984740745262"/>
      <name val="Calibri"/>
      <family val="2"/>
      <scheme val="minor"/>
    </font>
    <font>
      <sz val="10"/>
      <name val="Arial"/>
      <family val="2"/>
    </font>
    <font>
      <sz val="9"/>
      <name val="Century Gothic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4" borderId="1" xfId="1" applyFont="1" applyFill="1" applyBorder="1" applyAlignment="1">
      <alignment horizontal="left" vertical="center" indent="1"/>
    </xf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2" xfId="0" applyBorder="1"/>
    <xf numFmtId="0" fontId="2" fillId="3" borderId="1" xfId="0" applyFont="1" applyFill="1" applyBorder="1" applyAlignment="1">
      <alignment horizontal="center"/>
    </xf>
    <xf numFmtId="0" fontId="5" fillId="6" borderId="1" xfId="0" applyFont="1" applyFill="1" applyBorder="1"/>
  </cellXfs>
  <cellStyles count="2">
    <cellStyle name="Normal" xfId="0" builtinId="0"/>
    <cellStyle name="Normal 3" xfId="1" xr:uid="{A34346A0-7F99-4D80-9847-8057750B48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85BE-11AE-4664-9767-5D022171CC1F}">
  <dimension ref="A1:K51"/>
  <sheetViews>
    <sheetView tabSelected="1" topLeftCell="A11" zoomScale="90" zoomScaleNormal="90" workbookViewId="0">
      <selection activeCell="A19" sqref="A19"/>
    </sheetView>
  </sheetViews>
  <sheetFormatPr defaultColWidth="8.81640625" defaultRowHeight="14.5" x14ac:dyDescent="0.35"/>
  <cols>
    <col min="1" max="1" width="75.54296875" style="4" bestFit="1" customWidth="1"/>
    <col min="2" max="2" width="13" style="7" customWidth="1"/>
    <col min="3" max="6" width="14.453125" style="4" customWidth="1"/>
    <col min="7" max="7" width="15.6328125" style="4" customWidth="1"/>
    <col min="8" max="8" width="17.1796875" style="4" customWidth="1"/>
    <col min="9" max="9" width="18.1796875" style="4" customWidth="1"/>
    <col min="10" max="10" width="18" style="4" customWidth="1"/>
    <col min="11" max="11" width="18.36328125" style="4" customWidth="1"/>
  </cols>
  <sheetData>
    <row r="1" spans="1:11" s="1" customFormat="1" ht="74.5" customHeight="1" x14ac:dyDescent="0.35">
      <c r="A1" s="2" t="s">
        <v>0</v>
      </c>
      <c r="B1" s="2" t="s">
        <v>1</v>
      </c>
      <c r="C1" s="2" t="s">
        <v>2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3</v>
      </c>
      <c r="I1" s="3"/>
      <c r="J1" s="2" t="s">
        <v>4</v>
      </c>
      <c r="K1" s="2" t="s">
        <v>5</v>
      </c>
    </row>
    <row r="2" spans="1:11" hidden="1" x14ac:dyDescent="0.35">
      <c r="A2" s="5" t="s">
        <v>6</v>
      </c>
    </row>
    <row r="3" spans="1:11" hidden="1" x14ac:dyDescent="0.35">
      <c r="A3" s="5" t="s">
        <v>7</v>
      </c>
    </row>
    <row r="4" spans="1:11" hidden="1" x14ac:dyDescent="0.35">
      <c r="A4" s="5" t="s">
        <v>8</v>
      </c>
    </row>
    <row r="5" spans="1:11" hidden="1" x14ac:dyDescent="0.35">
      <c r="A5" s="5" t="s">
        <v>9</v>
      </c>
    </row>
    <row r="6" spans="1:11" hidden="1" x14ac:dyDescent="0.35">
      <c r="A6" s="5" t="s">
        <v>10</v>
      </c>
    </row>
    <row r="7" spans="1:11" hidden="1" x14ac:dyDescent="0.35">
      <c r="A7" s="5" t="s">
        <v>11</v>
      </c>
    </row>
    <row r="8" spans="1:11" x14ac:dyDescent="0.35">
      <c r="A8" s="4" t="s">
        <v>62</v>
      </c>
      <c r="B8" s="7">
        <v>2</v>
      </c>
      <c r="H8" s="4">
        <v>36</v>
      </c>
      <c r="J8" s="4">
        <f>H8/8</f>
        <v>4.5</v>
      </c>
    </row>
    <row r="9" spans="1:11" x14ac:dyDescent="0.35">
      <c r="A9" s="6" t="s">
        <v>52</v>
      </c>
      <c r="B9" s="8">
        <v>2</v>
      </c>
      <c r="C9" s="6"/>
      <c r="D9" s="6"/>
      <c r="E9" s="6"/>
      <c r="F9" s="6"/>
      <c r="G9" s="6"/>
      <c r="H9" s="6">
        <v>36</v>
      </c>
      <c r="I9" s="6"/>
      <c r="J9" s="6">
        <f t="shared" ref="J9:J51" si="0">H9/8</f>
        <v>4.5</v>
      </c>
    </row>
    <row r="10" spans="1:11" x14ac:dyDescent="0.35">
      <c r="A10" s="6" t="s">
        <v>12</v>
      </c>
      <c r="B10" s="8">
        <v>2</v>
      </c>
      <c r="C10" s="6"/>
      <c r="D10" s="6"/>
      <c r="E10" s="6"/>
      <c r="F10" s="6"/>
      <c r="G10" s="6"/>
      <c r="H10" s="6">
        <v>80</v>
      </c>
      <c r="I10" s="6"/>
      <c r="J10" s="6">
        <f t="shared" si="0"/>
        <v>10</v>
      </c>
    </row>
    <row r="11" spans="1:11" x14ac:dyDescent="0.35">
      <c r="A11" s="6" t="s">
        <v>13</v>
      </c>
      <c r="B11" s="8">
        <v>2</v>
      </c>
      <c r="C11" s="6"/>
      <c r="D11" s="6">
        <v>4</v>
      </c>
      <c r="E11" s="6">
        <v>16</v>
      </c>
      <c r="F11" s="6">
        <v>4</v>
      </c>
      <c r="G11" s="6">
        <v>2</v>
      </c>
      <c r="H11" s="6">
        <f>SUM(D11:G11)</f>
        <v>26</v>
      </c>
      <c r="I11" s="6"/>
      <c r="J11" s="6">
        <f t="shared" si="0"/>
        <v>3.25</v>
      </c>
    </row>
    <row r="12" spans="1:11" x14ac:dyDescent="0.35">
      <c r="A12" s="4" t="s">
        <v>14</v>
      </c>
      <c r="B12" s="7">
        <v>2</v>
      </c>
      <c r="H12" s="6">
        <f t="shared" ref="H12:H51" si="1">SUM(D12:G12)</f>
        <v>0</v>
      </c>
    </row>
    <row r="13" spans="1:11" x14ac:dyDescent="0.35">
      <c r="A13" s="6" t="s">
        <v>15</v>
      </c>
      <c r="B13" s="8">
        <v>2</v>
      </c>
      <c r="C13" s="6"/>
      <c r="D13" s="6">
        <v>4</v>
      </c>
      <c r="E13" s="6">
        <v>25</v>
      </c>
      <c r="F13" s="6">
        <v>4</v>
      </c>
      <c r="G13" s="6">
        <v>2</v>
      </c>
      <c r="H13" s="6">
        <f t="shared" si="1"/>
        <v>35</v>
      </c>
      <c r="I13" s="6"/>
      <c r="J13" s="6">
        <f>H13/8</f>
        <v>4.375</v>
      </c>
    </row>
    <row r="14" spans="1:11" x14ac:dyDescent="0.35">
      <c r="A14" s="6" t="s">
        <v>16</v>
      </c>
      <c r="B14" s="8">
        <v>3</v>
      </c>
      <c r="C14" s="6"/>
      <c r="D14" s="6">
        <v>1</v>
      </c>
      <c r="E14" s="6">
        <v>6</v>
      </c>
      <c r="F14" s="6">
        <v>2</v>
      </c>
      <c r="G14" s="6">
        <v>1</v>
      </c>
      <c r="H14" s="6">
        <f t="shared" si="1"/>
        <v>10</v>
      </c>
      <c r="I14" s="6"/>
      <c r="J14" s="6">
        <f t="shared" si="0"/>
        <v>1.25</v>
      </c>
    </row>
    <row r="15" spans="1:11" x14ac:dyDescent="0.35">
      <c r="A15" s="6" t="s">
        <v>17</v>
      </c>
      <c r="B15" s="8">
        <v>3</v>
      </c>
      <c r="C15" s="6"/>
      <c r="D15" s="6">
        <v>6</v>
      </c>
      <c r="E15" s="6">
        <v>16</v>
      </c>
      <c r="F15" s="6">
        <v>2</v>
      </c>
      <c r="G15" s="6">
        <v>1</v>
      </c>
      <c r="H15" s="6">
        <f t="shared" si="1"/>
        <v>25</v>
      </c>
      <c r="I15" s="6"/>
      <c r="J15" s="6">
        <f t="shared" si="0"/>
        <v>3.125</v>
      </c>
    </row>
    <row r="16" spans="1:11" x14ac:dyDescent="0.35">
      <c r="A16" s="4" t="s">
        <v>18</v>
      </c>
      <c r="B16" s="7">
        <v>1</v>
      </c>
      <c r="H16" s="6">
        <f t="shared" si="1"/>
        <v>0</v>
      </c>
      <c r="J16" s="4">
        <f t="shared" si="0"/>
        <v>0</v>
      </c>
    </row>
    <row r="17" spans="1:10" x14ac:dyDescent="0.35">
      <c r="A17" s="4" t="s">
        <v>19</v>
      </c>
      <c r="B17" s="7">
        <v>2</v>
      </c>
      <c r="H17" s="6">
        <f t="shared" si="1"/>
        <v>0</v>
      </c>
      <c r="J17" s="4">
        <f t="shared" si="0"/>
        <v>0</v>
      </c>
    </row>
    <row r="18" spans="1:10" x14ac:dyDescent="0.35">
      <c r="A18" s="14" t="s">
        <v>20</v>
      </c>
      <c r="B18" s="8">
        <v>2</v>
      </c>
      <c r="C18" s="6"/>
      <c r="D18" s="6">
        <v>6</v>
      </c>
      <c r="E18" s="6">
        <v>24</v>
      </c>
      <c r="F18" s="6">
        <v>8</v>
      </c>
      <c r="G18" s="6">
        <v>2</v>
      </c>
      <c r="H18" s="6">
        <f t="shared" si="1"/>
        <v>40</v>
      </c>
      <c r="I18" s="6"/>
      <c r="J18" s="6">
        <f t="shared" si="0"/>
        <v>5</v>
      </c>
    </row>
    <row r="19" spans="1:10" x14ac:dyDescent="0.35">
      <c r="A19" s="6" t="s">
        <v>21</v>
      </c>
      <c r="B19" s="8">
        <v>2</v>
      </c>
      <c r="C19" s="6"/>
      <c r="D19" s="6">
        <v>4</v>
      </c>
      <c r="E19" s="6">
        <v>16</v>
      </c>
      <c r="F19" s="6">
        <v>8</v>
      </c>
      <c r="G19" s="6">
        <v>2</v>
      </c>
      <c r="H19" s="6">
        <f t="shared" si="1"/>
        <v>30</v>
      </c>
      <c r="I19" s="6"/>
      <c r="J19" s="6">
        <f t="shared" si="0"/>
        <v>3.75</v>
      </c>
    </row>
    <row r="20" spans="1:10" x14ac:dyDescent="0.35">
      <c r="A20" s="6" t="s">
        <v>22</v>
      </c>
      <c r="B20" s="8">
        <v>2</v>
      </c>
      <c r="C20" s="6"/>
      <c r="D20" s="6">
        <v>1</v>
      </c>
      <c r="E20" s="6">
        <v>8</v>
      </c>
      <c r="F20" s="6">
        <v>2</v>
      </c>
      <c r="G20" s="6">
        <v>1</v>
      </c>
      <c r="H20" s="6">
        <f t="shared" si="1"/>
        <v>12</v>
      </c>
      <c r="I20" s="6"/>
      <c r="J20" s="6">
        <f t="shared" si="0"/>
        <v>1.5</v>
      </c>
    </row>
    <row r="21" spans="1:10" x14ac:dyDescent="0.35">
      <c r="A21" s="6" t="s">
        <v>23</v>
      </c>
      <c r="B21" s="8">
        <v>2</v>
      </c>
      <c r="C21" s="6"/>
      <c r="D21" s="6">
        <v>6</v>
      </c>
      <c r="E21" s="6">
        <v>24</v>
      </c>
      <c r="F21" s="6">
        <v>6</v>
      </c>
      <c r="G21" s="6">
        <v>2</v>
      </c>
      <c r="H21" s="6">
        <f t="shared" si="1"/>
        <v>38</v>
      </c>
      <c r="I21" s="6"/>
      <c r="J21" s="6">
        <f t="shared" si="0"/>
        <v>4.75</v>
      </c>
    </row>
    <row r="22" spans="1:10" x14ac:dyDescent="0.35">
      <c r="A22" s="6" t="s">
        <v>24</v>
      </c>
      <c r="B22" s="8">
        <v>1</v>
      </c>
      <c r="C22" s="6"/>
      <c r="D22" s="6">
        <v>6</v>
      </c>
      <c r="E22" s="6">
        <v>32</v>
      </c>
      <c r="F22" s="6">
        <v>6</v>
      </c>
      <c r="G22" s="6">
        <v>2</v>
      </c>
      <c r="H22" s="6">
        <f t="shared" si="1"/>
        <v>46</v>
      </c>
      <c r="I22" s="6"/>
      <c r="J22" s="6">
        <f t="shared" si="0"/>
        <v>5.75</v>
      </c>
    </row>
    <row r="23" spans="1:10" x14ac:dyDescent="0.35">
      <c r="A23" s="6" t="s">
        <v>25</v>
      </c>
      <c r="B23" s="8">
        <v>1</v>
      </c>
      <c r="C23" s="6"/>
      <c r="D23" s="6">
        <v>2</v>
      </c>
      <c r="E23" s="6">
        <v>18</v>
      </c>
      <c r="F23" s="6">
        <v>6</v>
      </c>
      <c r="G23" s="6">
        <v>2</v>
      </c>
      <c r="H23" s="6">
        <f t="shared" si="1"/>
        <v>28</v>
      </c>
      <c r="I23" s="6"/>
      <c r="J23" s="6">
        <f t="shared" si="0"/>
        <v>3.5</v>
      </c>
    </row>
    <row r="24" spans="1:10" x14ac:dyDescent="0.35">
      <c r="A24" s="6" t="s">
        <v>26</v>
      </c>
      <c r="B24" s="8">
        <v>1</v>
      </c>
      <c r="C24" s="6"/>
      <c r="D24" s="6">
        <v>6</v>
      </c>
      <c r="E24" s="6">
        <v>28</v>
      </c>
      <c r="F24" s="6">
        <v>6</v>
      </c>
      <c r="G24" s="6">
        <v>2</v>
      </c>
      <c r="H24" s="6">
        <f t="shared" si="1"/>
        <v>42</v>
      </c>
      <c r="I24" s="6"/>
      <c r="J24" s="6">
        <f t="shared" si="0"/>
        <v>5.25</v>
      </c>
    </row>
    <row r="25" spans="1:10" x14ac:dyDescent="0.35">
      <c r="A25" s="6" t="s">
        <v>27</v>
      </c>
      <c r="B25" s="8">
        <v>2</v>
      </c>
      <c r="C25" s="6"/>
      <c r="D25" s="6">
        <v>3</v>
      </c>
      <c r="E25" s="6">
        <v>28</v>
      </c>
      <c r="F25" s="6">
        <v>6</v>
      </c>
      <c r="G25" s="6">
        <v>2</v>
      </c>
      <c r="H25" s="6">
        <f t="shared" si="1"/>
        <v>39</v>
      </c>
      <c r="I25" s="6"/>
      <c r="J25" s="6">
        <f t="shared" si="0"/>
        <v>4.875</v>
      </c>
    </row>
    <row r="26" spans="1:10" x14ac:dyDescent="0.35">
      <c r="A26" s="4" t="s">
        <v>28</v>
      </c>
      <c r="B26" s="7">
        <v>2</v>
      </c>
      <c r="H26" s="6">
        <f t="shared" si="1"/>
        <v>0</v>
      </c>
      <c r="J26" s="4">
        <f t="shared" si="0"/>
        <v>0</v>
      </c>
    </row>
    <row r="27" spans="1:10" x14ac:dyDescent="0.35">
      <c r="A27" s="6" t="s">
        <v>29</v>
      </c>
      <c r="B27" s="8">
        <v>1</v>
      </c>
      <c r="C27" s="6"/>
      <c r="D27" s="6">
        <v>6</v>
      </c>
      <c r="E27" s="6">
        <v>28</v>
      </c>
      <c r="F27" s="6">
        <v>6</v>
      </c>
      <c r="G27" s="6">
        <v>2</v>
      </c>
      <c r="H27" s="6">
        <f t="shared" si="1"/>
        <v>42</v>
      </c>
      <c r="I27" s="6"/>
      <c r="J27" s="6">
        <f t="shared" si="0"/>
        <v>5.25</v>
      </c>
    </row>
    <row r="28" spans="1:10" x14ac:dyDescent="0.35">
      <c r="A28" s="6" t="s">
        <v>30</v>
      </c>
      <c r="B28" s="8">
        <v>1</v>
      </c>
      <c r="C28" s="6"/>
      <c r="D28" s="6">
        <v>6</v>
      </c>
      <c r="E28" s="6">
        <v>30</v>
      </c>
      <c r="F28" s="6">
        <v>6</v>
      </c>
      <c r="G28" s="6">
        <v>2</v>
      </c>
      <c r="H28" s="6">
        <f t="shared" si="1"/>
        <v>44</v>
      </c>
      <c r="I28" s="6"/>
      <c r="J28" s="6">
        <f t="shared" si="0"/>
        <v>5.5</v>
      </c>
    </row>
    <row r="29" spans="1:10" x14ac:dyDescent="0.35">
      <c r="A29" s="6" t="s">
        <v>31</v>
      </c>
      <c r="B29" s="8">
        <v>1</v>
      </c>
      <c r="C29" s="6"/>
      <c r="D29" s="6">
        <v>6</v>
      </c>
      <c r="E29" s="6">
        <v>24</v>
      </c>
      <c r="F29" s="6">
        <v>6</v>
      </c>
      <c r="G29" s="6">
        <v>2</v>
      </c>
      <c r="H29" s="6">
        <f t="shared" si="1"/>
        <v>38</v>
      </c>
      <c r="I29" s="6"/>
      <c r="J29" s="6">
        <f t="shared" si="0"/>
        <v>4.75</v>
      </c>
    </row>
    <row r="30" spans="1:10" x14ac:dyDescent="0.35">
      <c r="A30" s="6" t="s">
        <v>32</v>
      </c>
      <c r="B30" s="8">
        <v>1</v>
      </c>
      <c r="C30" s="6"/>
      <c r="D30" s="6">
        <v>6</v>
      </c>
      <c r="E30" s="6">
        <v>24</v>
      </c>
      <c r="F30" s="6">
        <v>6</v>
      </c>
      <c r="G30" s="6">
        <v>2</v>
      </c>
      <c r="H30" s="6">
        <f t="shared" si="1"/>
        <v>38</v>
      </c>
      <c r="I30" s="6"/>
      <c r="J30" s="6">
        <f t="shared" si="0"/>
        <v>4.75</v>
      </c>
    </row>
    <row r="31" spans="1:10" x14ac:dyDescent="0.35">
      <c r="A31" s="6" t="s">
        <v>33</v>
      </c>
      <c r="B31" s="8">
        <v>1</v>
      </c>
      <c r="C31" s="6"/>
      <c r="D31" s="6">
        <v>6</v>
      </c>
      <c r="E31" s="6">
        <v>28</v>
      </c>
      <c r="F31" s="6">
        <v>6</v>
      </c>
      <c r="G31" s="6">
        <v>2</v>
      </c>
      <c r="H31" s="6">
        <f t="shared" si="1"/>
        <v>42</v>
      </c>
      <c r="I31" s="6"/>
      <c r="J31" s="6">
        <f t="shared" si="0"/>
        <v>5.25</v>
      </c>
    </row>
    <row r="32" spans="1:10" x14ac:dyDescent="0.35">
      <c r="A32" s="6" t="s">
        <v>34</v>
      </c>
      <c r="B32" s="8">
        <v>2</v>
      </c>
      <c r="C32" s="6"/>
      <c r="D32" s="6">
        <v>4</v>
      </c>
      <c r="E32" s="6">
        <v>32</v>
      </c>
      <c r="F32" s="6">
        <v>6</v>
      </c>
      <c r="G32" s="6">
        <v>2</v>
      </c>
      <c r="H32" s="6">
        <f t="shared" si="1"/>
        <v>44</v>
      </c>
      <c r="I32" s="6"/>
      <c r="J32" s="6">
        <f t="shared" si="0"/>
        <v>5.5</v>
      </c>
    </row>
    <row r="33" spans="1:10" x14ac:dyDescent="0.35">
      <c r="A33" s="6" t="s">
        <v>35</v>
      </c>
      <c r="B33" s="8">
        <v>2</v>
      </c>
      <c r="C33" s="6"/>
      <c r="D33" s="6">
        <v>4</v>
      </c>
      <c r="E33" s="6">
        <v>18</v>
      </c>
      <c r="F33" s="6">
        <v>6</v>
      </c>
      <c r="G33" s="6">
        <v>2</v>
      </c>
      <c r="H33" s="6">
        <f t="shared" si="1"/>
        <v>30</v>
      </c>
      <c r="I33" s="6"/>
      <c r="J33" s="6">
        <f t="shared" si="0"/>
        <v>3.75</v>
      </c>
    </row>
    <row r="34" spans="1:10" x14ac:dyDescent="0.35">
      <c r="A34" s="6" t="s">
        <v>36</v>
      </c>
      <c r="B34" s="8">
        <v>1</v>
      </c>
      <c r="C34" s="6"/>
      <c r="D34" s="6">
        <v>6</v>
      </c>
      <c r="E34" s="6">
        <v>32</v>
      </c>
      <c r="F34" s="6">
        <v>6</v>
      </c>
      <c r="G34" s="6">
        <v>4</v>
      </c>
      <c r="H34" s="6">
        <f t="shared" si="1"/>
        <v>48</v>
      </c>
      <c r="I34" s="6"/>
      <c r="J34" s="6">
        <f t="shared" si="0"/>
        <v>6</v>
      </c>
    </row>
    <row r="35" spans="1:10" x14ac:dyDescent="0.35">
      <c r="A35" s="6" t="s">
        <v>37</v>
      </c>
      <c r="B35" s="8">
        <v>1</v>
      </c>
      <c r="C35" s="6"/>
      <c r="D35" s="6">
        <v>6</v>
      </c>
      <c r="E35" s="6">
        <v>36</v>
      </c>
      <c r="F35" s="6">
        <v>6</v>
      </c>
      <c r="G35" s="6">
        <v>4</v>
      </c>
      <c r="H35" s="6">
        <f t="shared" si="1"/>
        <v>52</v>
      </c>
      <c r="I35" s="6"/>
      <c r="J35" s="6">
        <f t="shared" si="0"/>
        <v>6.5</v>
      </c>
    </row>
    <row r="36" spans="1:10" x14ac:dyDescent="0.35">
      <c r="A36" s="6" t="s">
        <v>38</v>
      </c>
      <c r="B36" s="8">
        <v>3</v>
      </c>
      <c r="C36" s="6"/>
      <c r="D36" s="6">
        <v>4</v>
      </c>
      <c r="E36" s="6">
        <v>18</v>
      </c>
      <c r="F36" s="6">
        <v>6</v>
      </c>
      <c r="G36" s="6">
        <v>2</v>
      </c>
      <c r="H36" s="6">
        <f t="shared" si="1"/>
        <v>30</v>
      </c>
      <c r="I36" s="6"/>
      <c r="J36" s="6">
        <f t="shared" si="0"/>
        <v>3.75</v>
      </c>
    </row>
    <row r="37" spans="1:10" x14ac:dyDescent="0.35">
      <c r="A37" s="6" t="s">
        <v>39</v>
      </c>
      <c r="B37" s="8">
        <v>1</v>
      </c>
      <c r="C37" s="6"/>
      <c r="D37" s="6">
        <v>4</v>
      </c>
      <c r="E37" s="6">
        <v>42</v>
      </c>
      <c r="F37" s="6">
        <v>8</v>
      </c>
      <c r="G37" s="6">
        <v>4</v>
      </c>
      <c r="H37" s="6">
        <f t="shared" si="1"/>
        <v>58</v>
      </c>
      <c r="I37" s="6"/>
      <c r="J37" s="6">
        <f t="shared" si="0"/>
        <v>7.25</v>
      </c>
    </row>
    <row r="38" spans="1:10" x14ac:dyDescent="0.35">
      <c r="A38" s="6" t="s">
        <v>40</v>
      </c>
      <c r="B38" s="8">
        <v>2</v>
      </c>
      <c r="C38" s="6"/>
      <c r="D38" s="6">
        <v>4</v>
      </c>
      <c r="E38" s="6">
        <v>32</v>
      </c>
      <c r="F38" s="6">
        <v>8</v>
      </c>
      <c r="G38" s="6">
        <v>4</v>
      </c>
      <c r="H38" s="6">
        <f t="shared" si="1"/>
        <v>48</v>
      </c>
      <c r="I38" s="6"/>
      <c r="J38" s="6">
        <f t="shared" si="0"/>
        <v>6</v>
      </c>
    </row>
    <row r="39" spans="1:10" x14ac:dyDescent="0.35">
      <c r="A39" s="6" t="s">
        <v>41</v>
      </c>
      <c r="B39" s="8">
        <v>1</v>
      </c>
      <c r="C39" s="6"/>
      <c r="D39" s="6">
        <v>4</v>
      </c>
      <c r="E39" s="6">
        <v>30</v>
      </c>
      <c r="F39" s="6">
        <v>8</v>
      </c>
      <c r="G39" s="6">
        <v>4</v>
      </c>
      <c r="H39" s="6">
        <f t="shared" si="1"/>
        <v>46</v>
      </c>
      <c r="I39" s="6"/>
      <c r="J39" s="6">
        <f t="shared" si="0"/>
        <v>5.75</v>
      </c>
    </row>
    <row r="40" spans="1:10" x14ac:dyDescent="0.35">
      <c r="A40" s="6" t="s">
        <v>42</v>
      </c>
      <c r="B40" s="8">
        <v>2</v>
      </c>
      <c r="C40" s="6"/>
      <c r="D40" s="6">
        <v>4</v>
      </c>
      <c r="E40" s="6">
        <v>18</v>
      </c>
      <c r="F40" s="6">
        <v>6</v>
      </c>
      <c r="G40" s="6">
        <v>2</v>
      </c>
      <c r="H40" s="6">
        <f t="shared" si="1"/>
        <v>30</v>
      </c>
      <c r="I40" s="6"/>
      <c r="J40" s="6">
        <f t="shared" si="0"/>
        <v>3.75</v>
      </c>
    </row>
    <row r="41" spans="1:10" x14ac:dyDescent="0.35">
      <c r="A41" s="6" t="s">
        <v>43</v>
      </c>
      <c r="B41" s="8">
        <v>2</v>
      </c>
      <c r="C41" s="6"/>
      <c r="D41" s="6">
        <v>4</v>
      </c>
      <c r="E41" s="6">
        <v>18</v>
      </c>
      <c r="F41" s="6">
        <v>6</v>
      </c>
      <c r="G41" s="6">
        <v>2</v>
      </c>
      <c r="H41" s="6">
        <f t="shared" si="1"/>
        <v>30</v>
      </c>
      <c r="I41" s="6"/>
      <c r="J41" s="6">
        <f t="shared" si="0"/>
        <v>3.75</v>
      </c>
    </row>
    <row r="42" spans="1:10" x14ac:dyDescent="0.35">
      <c r="A42" s="6" t="s">
        <v>44</v>
      </c>
      <c r="B42" s="8">
        <v>3</v>
      </c>
      <c r="C42" s="6"/>
      <c r="D42" s="6">
        <v>4</v>
      </c>
      <c r="E42" s="6">
        <v>18</v>
      </c>
      <c r="F42" s="6">
        <v>6</v>
      </c>
      <c r="G42" s="6">
        <v>2</v>
      </c>
      <c r="H42" s="6">
        <f t="shared" si="1"/>
        <v>30</v>
      </c>
      <c r="I42" s="6"/>
      <c r="J42" s="6">
        <f t="shared" si="0"/>
        <v>3.75</v>
      </c>
    </row>
    <row r="43" spans="1:10" x14ac:dyDescent="0.35">
      <c r="A43" s="6" t="s">
        <v>45</v>
      </c>
      <c r="B43" s="8">
        <v>2</v>
      </c>
      <c r="C43" s="6"/>
      <c r="D43" s="6">
        <v>4</v>
      </c>
      <c r="E43" s="6">
        <v>18</v>
      </c>
      <c r="F43" s="6">
        <v>6</v>
      </c>
      <c r="G43" s="6">
        <v>2</v>
      </c>
      <c r="H43" s="6">
        <f t="shared" si="1"/>
        <v>30</v>
      </c>
      <c r="I43" s="6"/>
      <c r="J43" s="6">
        <f t="shared" si="0"/>
        <v>3.75</v>
      </c>
    </row>
    <row r="44" spans="1:10" x14ac:dyDescent="0.35">
      <c r="A44" s="6" t="s">
        <v>46</v>
      </c>
      <c r="B44" s="8">
        <v>1</v>
      </c>
      <c r="C44" s="6"/>
      <c r="D44" s="6">
        <v>4</v>
      </c>
      <c r="E44" s="6">
        <v>18</v>
      </c>
      <c r="F44" s="6">
        <v>6</v>
      </c>
      <c r="G44" s="6">
        <v>2</v>
      </c>
      <c r="H44" s="6">
        <f t="shared" si="1"/>
        <v>30</v>
      </c>
      <c r="I44" s="6"/>
      <c r="J44" s="6">
        <f t="shared" si="0"/>
        <v>3.75</v>
      </c>
    </row>
    <row r="45" spans="1:10" x14ac:dyDescent="0.35">
      <c r="A45" s="6" t="s">
        <v>47</v>
      </c>
      <c r="B45" s="8">
        <v>2</v>
      </c>
      <c r="C45" s="6"/>
      <c r="D45" s="6">
        <v>4</v>
      </c>
      <c r="E45" s="6">
        <v>18</v>
      </c>
      <c r="F45" s="6">
        <v>6</v>
      </c>
      <c r="G45" s="6">
        <v>2</v>
      </c>
      <c r="H45" s="6">
        <f t="shared" si="1"/>
        <v>30</v>
      </c>
      <c r="I45" s="6"/>
      <c r="J45" s="6">
        <f t="shared" si="0"/>
        <v>3.75</v>
      </c>
    </row>
    <row r="46" spans="1:10" x14ac:dyDescent="0.35">
      <c r="A46" s="6" t="s">
        <v>48</v>
      </c>
      <c r="B46" s="8">
        <v>1</v>
      </c>
      <c r="C46" s="6"/>
      <c r="D46" s="6">
        <v>6</v>
      </c>
      <c r="E46" s="6">
        <v>32</v>
      </c>
      <c r="F46" s="6">
        <v>8</v>
      </c>
      <c r="G46" s="6">
        <v>2</v>
      </c>
      <c r="H46" s="6">
        <f t="shared" si="1"/>
        <v>48</v>
      </c>
      <c r="I46" s="6"/>
      <c r="J46" s="6">
        <f t="shared" si="0"/>
        <v>6</v>
      </c>
    </row>
    <row r="47" spans="1:10" x14ac:dyDescent="0.35">
      <c r="A47" s="6" t="s">
        <v>53</v>
      </c>
      <c r="B47" s="8">
        <v>1</v>
      </c>
      <c r="C47" s="6"/>
      <c r="D47" s="6">
        <v>4</v>
      </c>
      <c r="E47" s="6">
        <v>40</v>
      </c>
      <c r="F47" s="6">
        <v>8</v>
      </c>
      <c r="G47" s="6">
        <v>2</v>
      </c>
      <c r="H47" s="6">
        <f t="shared" si="1"/>
        <v>54</v>
      </c>
      <c r="I47" s="6"/>
      <c r="J47" s="6">
        <f t="shared" si="0"/>
        <v>6.75</v>
      </c>
    </row>
    <row r="48" spans="1:10" x14ac:dyDescent="0.35">
      <c r="A48" s="6" t="s">
        <v>54</v>
      </c>
      <c r="B48" s="8">
        <v>1</v>
      </c>
      <c r="C48" s="6"/>
      <c r="D48" s="6">
        <v>4</v>
      </c>
      <c r="E48" s="6">
        <v>20</v>
      </c>
      <c r="F48" s="6">
        <v>6</v>
      </c>
      <c r="G48" s="6">
        <v>2</v>
      </c>
      <c r="H48" s="6">
        <f t="shared" si="1"/>
        <v>32</v>
      </c>
      <c r="I48" s="6"/>
      <c r="J48" s="6">
        <f t="shared" si="0"/>
        <v>4</v>
      </c>
    </row>
    <row r="49" spans="1:10" x14ac:dyDescent="0.35">
      <c r="A49" s="6" t="s">
        <v>55</v>
      </c>
      <c r="B49" s="8">
        <v>1</v>
      </c>
      <c r="C49" s="6"/>
      <c r="D49" s="6">
        <v>12</v>
      </c>
      <c r="E49" s="6">
        <v>50</v>
      </c>
      <c r="F49" s="6">
        <v>12</v>
      </c>
      <c r="G49" s="6">
        <v>6</v>
      </c>
      <c r="H49" s="6">
        <f t="shared" si="1"/>
        <v>80</v>
      </c>
      <c r="I49" s="6"/>
      <c r="J49" s="6">
        <f t="shared" si="0"/>
        <v>10</v>
      </c>
    </row>
    <row r="50" spans="1:10" x14ac:dyDescent="0.35">
      <c r="A50" s="6" t="s">
        <v>56</v>
      </c>
      <c r="B50" s="8">
        <v>1</v>
      </c>
      <c r="C50" s="6"/>
      <c r="D50" s="6">
        <v>12</v>
      </c>
      <c r="E50" s="6">
        <v>50</v>
      </c>
      <c r="F50" s="6">
        <v>12</v>
      </c>
      <c r="G50" s="6">
        <v>6</v>
      </c>
      <c r="H50" s="6">
        <f t="shared" si="1"/>
        <v>80</v>
      </c>
      <c r="I50" s="6"/>
      <c r="J50" s="6">
        <f t="shared" si="0"/>
        <v>10</v>
      </c>
    </row>
    <row r="51" spans="1:10" x14ac:dyDescent="0.35">
      <c r="A51" s="6" t="s">
        <v>57</v>
      </c>
      <c r="B51" s="8">
        <v>1</v>
      </c>
      <c r="C51" s="6"/>
      <c r="D51" s="6">
        <v>6</v>
      </c>
      <c r="E51" s="6">
        <v>12</v>
      </c>
      <c r="F51" s="6">
        <v>6</v>
      </c>
      <c r="G51" s="6">
        <v>2</v>
      </c>
      <c r="H51" s="6">
        <f t="shared" si="1"/>
        <v>26</v>
      </c>
      <c r="I51" s="6"/>
      <c r="J51" s="6">
        <f t="shared" si="0"/>
        <v>3.25</v>
      </c>
    </row>
  </sheetData>
  <dataValidations count="1">
    <dataValidation type="list" allowBlank="1" showInputMessage="1" showErrorMessage="1" sqref="B1:B1048576" xr:uid="{B259D28E-573C-48D6-8BEF-F59965D3ECC5}">
      <formula1>"1, 2, 3"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D2E6-078D-4286-90F0-E7F7B6161987}">
  <dimension ref="A1:H3"/>
  <sheetViews>
    <sheetView workbookViewId="0">
      <selection sqref="A1:XFD3"/>
    </sheetView>
  </sheetViews>
  <sheetFormatPr defaultColWidth="8.81640625" defaultRowHeight="14.5" x14ac:dyDescent="0.35"/>
  <sheetData>
    <row r="1" spans="1:8" ht="52" customHeight="1" x14ac:dyDescent="1">
      <c r="A1" s="13" t="s">
        <v>49</v>
      </c>
      <c r="B1" s="13"/>
      <c r="C1" s="13"/>
      <c r="D1" s="13"/>
      <c r="E1" s="13"/>
      <c r="F1" s="13"/>
      <c r="G1" s="13"/>
      <c r="H1" s="13"/>
    </row>
    <row r="2" spans="1:8" x14ac:dyDescent="0.35">
      <c r="A2" s="9" t="s">
        <v>50</v>
      </c>
      <c r="B2" s="9"/>
      <c r="C2" s="10"/>
      <c r="D2" s="10"/>
      <c r="E2" s="10"/>
      <c r="F2" s="10"/>
      <c r="G2" s="10"/>
      <c r="H2" s="10"/>
    </row>
    <row r="3" spans="1:8" x14ac:dyDescent="0.35">
      <c r="A3" s="11" t="s">
        <v>51</v>
      </c>
      <c r="B3" s="11"/>
      <c r="C3" s="12"/>
      <c r="D3" s="12"/>
      <c r="E3" s="12"/>
      <c r="F3" s="12"/>
      <c r="G3" s="12"/>
      <c r="H3" s="12"/>
    </row>
  </sheetData>
  <mergeCells count="3">
    <mergeCell ref="A2:H2"/>
    <mergeCell ref="A3:H3"/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3F758EAEA22545B2400EA5E902D4D4" ma:contentTypeVersion="4" ma:contentTypeDescription="Create a new document." ma:contentTypeScope="" ma:versionID="e5573c085f67c109c8fd67fba1a88aad">
  <xsd:schema xmlns:xsd="http://www.w3.org/2001/XMLSchema" xmlns:xs="http://www.w3.org/2001/XMLSchema" xmlns:p="http://schemas.microsoft.com/office/2006/metadata/properties" xmlns:ns2="7d6f0251-f404-4bfd-a29b-e4ab9270643a" xmlns:ns3="cba5fdfb-a8bb-4b27-8705-b5a4f97b7de5" targetNamespace="http://schemas.microsoft.com/office/2006/metadata/properties" ma:root="true" ma:fieldsID="9b35554f7052546b76dc809d2c27e33b" ns2:_="" ns3:_="">
    <xsd:import namespace="7d6f0251-f404-4bfd-a29b-e4ab9270643a"/>
    <xsd:import namespace="cba5fdfb-a8bb-4b27-8705-b5a4f97b7d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f0251-f404-4bfd-a29b-e4ab927064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5fdfb-a8bb-4b27-8705-b5a4f97b7d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5F4280-B0E2-489A-B62F-69FB980412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6f0251-f404-4bfd-a29b-e4ab9270643a"/>
    <ds:schemaRef ds:uri="cba5fdfb-a8bb-4b27-8705-b5a4f97b7d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01DCAF-9574-4795-9733-50B6079BE2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A03914-0CC3-4921-8048-04E7B9BE09A9}">
  <ds:schemaRefs>
    <ds:schemaRef ds:uri="7d6f0251-f404-4bfd-a29b-e4ab9270643a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cba5fdfb-a8bb-4b27-8705-b5a4f97b7de5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MLOps Implementation Estimates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MISHRA, ABHISHEK</dc:creator>
  <cp:keywords/>
  <dc:description/>
  <cp:lastModifiedBy>Joseph Fernando, Ruben</cp:lastModifiedBy>
  <cp:revision/>
  <dcterms:created xsi:type="dcterms:W3CDTF">2023-03-13T05:53:27Z</dcterms:created>
  <dcterms:modified xsi:type="dcterms:W3CDTF">2023-03-30T08:19:19Z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0x0101005D3F758EAEA22545B2400EA5E902D4D4</vt:lpwstr>
  </property>
</Properties>
</file>